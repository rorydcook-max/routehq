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เริ่มที่นี่" sheetId="1" state="visible" r:id="rId1"/>
    <sheet xmlns:r="http://schemas.openxmlformats.org/officeDocument/2006/relationships" name="ต่อคัน" sheetId="2" state="visible" r:id="rId2"/>
    <sheet xmlns:r="http://schemas.openxmlformats.org/officeDocument/2006/relationships" name="แผนทั้งกองรถ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5">
    <font>
      <name val="Calibri"/>
      <family val="2"/>
      <color theme="1"/>
      <sz val="11"/>
      <scheme val="minor"/>
    </font>
    <font>
      <b val="1"/>
      <color rgb="0006162B"/>
      <sz val="20"/>
    </font>
    <font>
      <color rgb="000B8F8C"/>
      <sz val="11"/>
    </font>
    <font>
      <b val="1"/>
      <color rgb="0006162B"/>
      <sz val="12"/>
    </font>
    <font>
      <color rgb="0006162B"/>
      <sz val="12"/>
    </font>
    <font>
      <b val="1"/>
      <color rgb="0006162B"/>
      <sz val="16"/>
    </font>
    <font>
      <color rgb="000B8F8C"/>
      <sz val="10"/>
    </font>
    <font>
      <color rgb="0006162B"/>
      <sz val="11"/>
    </font>
    <font>
      <b val="1"/>
      <color rgb="000B8F8C"/>
      <sz val="12"/>
    </font>
    <font>
      <color rgb="0006162B"/>
    </font>
    <font>
      <b val="1"/>
      <color rgb="0006162B"/>
      <sz val="11"/>
    </font>
    <font>
      <b val="1"/>
      <color rgb="0006162B"/>
    </font>
    <font>
      <b val="1"/>
      <color rgb="00FFFFFF"/>
    </font>
    <font>
      <b val="1"/>
    </font>
    <font>
      <i val="1"/>
      <color rgb="005F6B7A"/>
    </font>
  </fonts>
  <fills count="4">
    <fill>
      <patternFill/>
    </fill>
    <fill>
      <patternFill patternType="gray125"/>
    </fill>
    <fill>
      <patternFill patternType="solid">
        <fgColor rgb="00FFF7E0"/>
      </patternFill>
    </fill>
    <fill>
      <patternFill patternType="solid">
        <fgColor rgb="0006162B"/>
      </patternFill>
    </fill>
  </fills>
  <borders count="2">
    <border>
      <left/>
      <right/>
      <top/>
      <bottom/>
      <diagonal/>
    </border>
    <border>
      <left style="thin">
        <color rgb="00C9D1DA"/>
      </left>
      <right style="thin">
        <color rgb="00C9D1DA"/>
      </right>
      <top style="thin">
        <color rgb="00C9D1DA"/>
      </top>
      <bottom style="thin">
        <color rgb="00C9D1DA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49" fontId="0" fillId="2" borderId="1" pivotButton="0" quotePrefix="0" xfId="0"/>
    <xf numFmtId="0" fontId="8" fillId="0" borderId="0" pivotButton="0" quotePrefix="0" xfId="0"/>
    <xf numFmtId="3" fontId="0" fillId="2" borderId="1" pivotButton="0" quotePrefix="0" xfId="0"/>
    <xf numFmtId="9" fontId="0" fillId="2" borderId="1" pivotButton="0" quotePrefix="0" xfId="0"/>
    <xf numFmtId="1" fontId="0" fillId="2" borderId="1" pivotButton="0" quotePrefix="0" xfId="0"/>
    <xf numFmtId="3" fontId="9" fillId="0" borderId="1" pivotButton="0" quotePrefix="0" xfId="0"/>
    <xf numFmtId="1" fontId="9" fillId="0" borderId="1" pivotButton="0" quotePrefix="0" xfId="0"/>
    <xf numFmtId="9" fontId="9" fillId="0" borderId="1" pivotButton="0" quotePrefix="0" xfId="0"/>
    <xf numFmtId="0" fontId="10" fillId="0" borderId="0" pivotButton="0" quotePrefix="0" xfId="0"/>
    <xf numFmtId="3" fontId="11" fillId="0" borderId="1" pivotButton="0" quotePrefix="0" xfId="0"/>
    <xf numFmtId="164" fontId="11" fillId="0" borderId="1" pivotButton="0" quotePrefix="0" xfId="0"/>
    <xf numFmtId="164" fontId="9" fillId="0" borderId="1" pivotButton="0" quotePrefix="0" xfId="0"/>
    <xf numFmtId="0" fontId="12" fillId="3" borderId="0" pivotButton="0" quotePrefix="0" xfId="0"/>
    <xf numFmtId="3" fontId="0" fillId="0" borderId="1" pivotButton="0" quotePrefix="0" xfId="0"/>
    <xf numFmtId="0" fontId="13" fillId="0" borderId="0" pivotButton="0" quotePrefix="0" xfId="0"/>
    <xf numFmtId="3" fontId="13" fillId="0" borderId="0" pivotButton="0" quotePrefix="0" xfId="0"/>
    <xf numFmtId="0" fontId="14" fillId="0" borderId="0" pivotButton="0" quotePrefix="0" xfId="0"/>
  </cellXfs>
  <cellStyles count="1">
    <cellStyle name="Normal" xfId="0" builtinId="0" hidden="0"/>
  </cellStyles>
  <dxfs count="1"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เครื่องคำนวณราคาค่าเช่าและกำไรต่อคัน</t>
        </is>
      </c>
    </row>
    <row r="2">
      <c r="A2" s="2" t="inlineStr">
        <is>
          <t>ฟรีจาก Lokalfleet · lokalfleet.com</t>
        </is>
      </c>
    </row>
    <row r="4">
      <c r="A4" s="3" t="inlineStr">
        <is>
          <t>วิธีใช้:</t>
        </is>
      </c>
    </row>
    <row r="5">
      <c r="A5" s="4" t="inlineStr">
        <is>
          <t>1. ในชีต 'ต่อคัน' แก้ช่องสีเหลืองสำหรับรถหนึ่งคัน: ราคาที่ซื้อ ค่าเช่า และค่าใช้จ่าย</t>
        </is>
      </c>
    </row>
    <row r="6">
      <c r="A6" s="4" t="inlineStr">
        <is>
          <t>2. ใส่จำนวนวันที่ปล่อยเช่าได้ต่อเดือนในช่วงไฮซีซั่น ช่วงปกติ และโลว์ซีซั่น ระบบคำนวณส่วนที่เหลือให้</t>
        </is>
      </c>
    </row>
    <row r="7">
      <c r="A7" s="4" t="inlineStr">
        <is>
          <t>3. ในชีต 'แผนทั้งกองรถ' ใส่จำนวนรถแต่ละแบบที่มี (หรือกำลังจะซื้อ) เพื่อดูภาพรวมทั้งธุรกิจ</t>
        </is>
      </c>
    </row>
    <row r="8">
      <c r="A8" s="4" t="inlineStr">
        <is>
          <t>ตัวเลขที่ใส่ไว้เป็นเพียงตัวอย่างในสกุลเงินที่เลือก ให้แทนด้วยตัวเลขของร้านคุณเอง</t>
        </is>
      </c>
    </row>
    <row r="9">
      <c r="A9" s="4" t="inlineStr">
        <is>
          <t>Lokalfleet บันทึกการจอง การชำระเงิน และค่าใช้จ่ายจริงของรถแต่ละคันให้อัตโนมัติ คุณจึงเทียบตัวเลขนี้กับผลจริงได้: lokalfleet.com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3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30" customWidth="1" min="3" max="3"/>
  </cols>
  <sheetData>
    <row r="1">
      <c r="A1" s="5" t="inlineStr">
        <is>
          <t>เครื่องคำนวณราคาค่าเช่าและกำไรต่อคัน</t>
        </is>
      </c>
    </row>
    <row r="2">
      <c r="A2" s="6" t="inlineStr">
        <is>
          <t>ฟรีจาก Lokalfleet · lokalfleet.com</t>
        </is>
      </c>
    </row>
    <row r="4">
      <c r="A4" s="7" t="inlineStr">
        <is>
          <t>สกุลเงิน</t>
        </is>
      </c>
      <c r="B4" s="8" t="inlineStr">
        <is>
          <t>THB</t>
        </is>
      </c>
    </row>
    <row r="5">
      <c r="A5" s="7" t="inlineStr">
        <is>
          <t>ประเภทรถ</t>
        </is>
      </c>
      <c r="B5" s="8" t="inlineStr">
        <is>
          <t>รถยนต์</t>
        </is>
      </c>
    </row>
    <row r="7">
      <c r="A7" s="9" t="inlineStr">
        <is>
          <t>ตัวรถ</t>
        </is>
      </c>
    </row>
    <row r="8">
      <c r="A8" s="7" t="inlineStr">
        <is>
          <t>ราคาที่ซื้อ (หรือราคาตลาด)</t>
        </is>
      </c>
      <c r="B8" s="10" t="n">
        <v>560000</v>
      </c>
    </row>
    <row r="9">
      <c r="A9" s="7" t="inlineStr">
        <is>
          <t>มูลค่าขายต่อหลัง 3 ปี (% ของราคา)</t>
        </is>
      </c>
      <c r="B9" s="11" t="n">
        <v>0.55</v>
      </c>
    </row>
    <row r="10">
      <c r="A10" s="7" t="inlineStr">
        <is>
          <t>จำนวนปีที่ตั้งใจใช้งาน</t>
        </is>
      </c>
      <c r="B10" s="12" t="n">
        <v>3</v>
      </c>
    </row>
    <row r="12">
      <c r="A12" s="9" t="inlineStr">
        <is>
          <t>ค่าเช่าของคุณ</t>
        </is>
      </c>
    </row>
    <row r="13">
      <c r="A13" s="7" t="inlineStr">
        <is>
          <t>ค่าเช่ารายวัน</t>
        </is>
      </c>
      <c r="B13" s="10" t="n">
        <v>1000</v>
      </c>
    </row>
    <row r="14">
      <c r="A14" s="7" t="inlineStr">
        <is>
          <t>ค่าเช่ารายสัปดาห์</t>
        </is>
      </c>
      <c r="B14" s="10" t="n">
        <v>6000</v>
      </c>
    </row>
    <row r="15">
      <c r="A15" s="7" t="inlineStr">
        <is>
          <t>ค่าเช่ารายเดือน</t>
        </is>
      </c>
      <c r="B15" s="10" t="n">
        <v>18000</v>
      </c>
    </row>
    <row r="17">
      <c r="A17" s="9" t="inlineStr">
        <is>
          <t>สัดส่วนการเช่า (ของวันที่ถูกเช่า)</t>
        </is>
      </c>
    </row>
    <row r="18">
      <c r="A18" s="7" t="inlineStr">
        <is>
          <t>เช่ารายวัน %</t>
        </is>
      </c>
      <c r="B18" s="11" t="n">
        <v>0.6</v>
      </c>
    </row>
    <row r="19">
      <c r="A19" s="7" t="inlineStr">
        <is>
          <t>เช่ารายสัปดาห์ %</t>
        </is>
      </c>
      <c r="B19" s="11" t="n">
        <v>0.25</v>
      </c>
    </row>
    <row r="20">
      <c r="A20" s="7" t="inlineStr">
        <is>
          <t>เช่ารายเดือน %</t>
        </is>
      </c>
      <c r="B20" s="11" t="n">
        <v>0.15</v>
      </c>
    </row>
    <row r="22">
      <c r="A22" s="9" t="inlineStr">
        <is>
          <t>จำนวนวันที่ถูกเช่าต่อเดือน</t>
        </is>
      </c>
    </row>
    <row r="23">
      <c r="A23" s="7" t="inlineStr">
        <is>
          <t>ไฮซีซั่น (กี่เดือนต่อปี)</t>
        </is>
      </c>
      <c r="B23" s="12" t="n">
        <v>4</v>
      </c>
    </row>
    <row r="24">
      <c r="A24" s="7" t="inlineStr">
        <is>
          <t>วันที่ถูกเช่าในเดือนไฮซีซั่น</t>
        </is>
      </c>
      <c r="B24" s="12" t="n">
        <v>25</v>
      </c>
    </row>
    <row r="25">
      <c r="A25" s="7" t="inlineStr">
        <is>
          <t>ช่วงปกติ (กี่เดือนต่อปี)</t>
        </is>
      </c>
      <c r="B25" s="12" t="n">
        <v>4</v>
      </c>
    </row>
    <row r="26">
      <c r="A26" s="7" t="inlineStr">
        <is>
          <t>วันที่ถูกเช่าในเดือนปกติ</t>
        </is>
      </c>
      <c r="B26" s="12" t="n">
        <v>18</v>
      </c>
    </row>
    <row r="27">
      <c r="A27" s="7" t="inlineStr">
        <is>
          <t>โลว์ซีซั่น (กี่เดือนต่อปี)</t>
        </is>
      </c>
      <c r="B27" s="12" t="n">
        <v>4</v>
      </c>
    </row>
    <row r="28">
      <c r="A28" s="7" t="inlineStr">
        <is>
          <t>วันที่ถูกเช่าในเดือนโลว์ซีซั่น</t>
        </is>
      </c>
      <c r="B28" s="12" t="n">
        <v>10</v>
      </c>
    </row>
    <row r="30">
      <c r="A30" s="9" t="inlineStr">
        <is>
          <t>ค่าใช้จ่ายในการดำเนินงาน</t>
        </is>
      </c>
    </row>
    <row r="31">
      <c r="A31" s="7" t="inlineStr">
        <is>
          <t>ประกันภัยต่อปี</t>
        </is>
      </c>
      <c r="B31" s="10" t="n">
        <v>18000</v>
      </c>
    </row>
    <row r="32">
      <c r="A32" s="7" t="inlineStr">
        <is>
          <t>ภาษีรถ + พ.ร.บ. ต่อปี</t>
        </is>
      </c>
      <c r="B32" s="10" t="n">
        <v>2500</v>
      </c>
    </row>
    <row r="33">
      <c r="A33" s="7" t="inlineStr">
        <is>
          <t>ค่าซ่อมบำรุงต่อเดือน</t>
        </is>
      </c>
      <c r="B33" s="10" t="n">
        <v>1200</v>
      </c>
    </row>
    <row r="34">
      <c r="A34" s="7" t="inlineStr">
        <is>
          <t>ค่าทำความสะอาดต่อการเช่า</t>
        </is>
      </c>
      <c r="B34" s="10" t="n">
        <v>150</v>
      </c>
    </row>
    <row r="35">
      <c r="A35" s="7" t="inlineStr">
        <is>
          <t>จำนวนการเช่าต่อเดือน (เฉลี่ย)</t>
        </is>
      </c>
      <c r="B35" s="12" t="n">
        <v>4</v>
      </c>
    </row>
    <row r="36">
      <c r="A36" s="7" t="inlineStr">
        <is>
          <t>ค่าคอมมิชชันการจอง % (บัตร, เอเจนต์)</t>
        </is>
      </c>
      <c r="B36" s="11" t="n">
        <v>0</v>
      </c>
    </row>
    <row r="37">
      <c r="A37" s="7" t="inlineStr">
        <is>
          <t>ที่จอดรถ, GPS, อื่น ๆ ต่อเดือน</t>
        </is>
      </c>
      <c r="B37" s="10" t="n">
        <v>500</v>
      </c>
    </row>
    <row r="39">
      <c r="A39" s="9" t="inlineStr">
        <is>
          <t>ผลลัพธ์</t>
        </is>
      </c>
    </row>
    <row r="40">
      <c r="A40" s="7" t="inlineStr">
        <is>
          <t>รายได้เฉลี่ยต่อวันที่ถูกเช่า</t>
        </is>
      </c>
      <c r="B40" s="13">
        <f>(B18*B13+B19*B14/7+B20*B15/30)*(1-B36)</f>
        <v/>
      </c>
    </row>
    <row r="41">
      <c r="A41" s="7" t="inlineStr">
        <is>
          <t>จำนวนวันที่ถูกเช่าต่อปี</t>
        </is>
      </c>
      <c r="B41" s="14">
        <f>B23*B24+B25*B26+B27*B28</f>
        <v/>
      </c>
    </row>
    <row r="42">
      <c r="A42" s="7" t="inlineStr">
        <is>
          <t>อัตราการใช้งาน (วันที่ถูกเช่า / 365)</t>
        </is>
      </c>
      <c r="B42" s="15">
        <f>B41/365</f>
        <v/>
      </c>
    </row>
    <row r="43">
      <c r="A43" s="7" t="inlineStr">
        <is>
          <t>รายได้ต่อปี</t>
        </is>
      </c>
      <c r="B43" s="13">
        <f>B40*B41</f>
        <v/>
      </c>
    </row>
    <row r="44">
      <c r="A44" s="7" t="inlineStr">
        <is>
          <t>ค่าใช้จ่ายต่อปี</t>
        </is>
      </c>
      <c r="B44" s="13">
        <f>B31+B32+12*(B33+B37+B34*B35)</f>
        <v/>
      </c>
    </row>
    <row r="45">
      <c r="A45" s="7" t="inlineStr">
        <is>
          <t>ค่าเสื่อมราคาต่อปี</t>
        </is>
      </c>
      <c r="B45" s="13">
        <f>B8*(1-B9)/MAX(1,B10)</f>
        <v/>
      </c>
    </row>
    <row r="46">
      <c r="A46" s="7" t="inlineStr">
        <is>
          <t>กำไรเงินสดต่อปี (ก่อนค่าเสื่อม)</t>
        </is>
      </c>
      <c r="B46" s="13">
        <f>B43-B44</f>
        <v/>
      </c>
    </row>
    <row r="47">
      <c r="A47" s="16" t="inlineStr">
        <is>
          <t>กำไรต่อปี (หลังค่าเสื่อม)</t>
        </is>
      </c>
      <c r="B47" s="17">
        <f>B46-B45</f>
        <v/>
      </c>
    </row>
    <row r="48">
      <c r="A48" s="16" t="inlineStr">
        <is>
          <t>กำไรต่อเดือน (เฉลี่ย)</t>
        </is>
      </c>
      <c r="B48" s="17">
        <f>B47/12</f>
        <v/>
      </c>
    </row>
    <row r="49">
      <c r="A49" s="16" t="inlineStr">
        <is>
          <t>คืนทุน (เดือน, จากกำไรเงินสด)</t>
        </is>
      </c>
      <c r="B49" s="18">
        <f>IF(B46&gt;0,B8/(B46/12),"—")</f>
        <v/>
      </c>
    </row>
    <row r="50">
      <c r="A50" s="7" t="inlineStr">
        <is>
          <t>จุดคุ้มทุน: ต้องถูกเช่ากี่วันต่อเดือน</t>
        </is>
      </c>
      <c r="B50" s="19">
        <f>IF(B40&gt;0,(B44+B45)/B40/12,"—")</f>
        <v/>
      </c>
    </row>
    <row r="52">
      <c r="A52" t="inlineStr">
        <is>
          <t>ตรวจสอบ: สัดส่วนการเช่ารวมเป็น 100%</t>
        </is>
      </c>
      <c r="B52">
        <f>IF(ROUND(B18+B19+B20,2)=1,"ถูกต้อง","แก้ไข: ต้องรวมเป็น 100%")</f>
        <v/>
      </c>
    </row>
    <row r="53">
      <c r="A53" t="inlineStr">
        <is>
          <t>จำนวนเดือนต้องรวมเป็น 12</t>
        </is>
      </c>
      <c r="B53">
        <f>IF(B23+B25+B27=12,"ถูกต้อง","แก้ไข: ต้องรวมเป็น 100%")</f>
        <v/>
      </c>
    </row>
  </sheetData>
  <conditionalFormatting sqref="B46">
    <cfRule type="cellIs" priority="1" operator="lessThan" dxfId="0">
      <formula>0</formula>
    </cfRule>
  </conditionalFormatting>
  <conditionalFormatting sqref="B47">
    <cfRule type="cellIs" priority="2" operator="lessThan" dxfId="0">
      <formula>0</formula>
    </cfRule>
  </conditionalFormatting>
  <dataValidations count="1">
    <dataValidation sqref="B4" showDropDown="0" showInputMessage="0" showErrorMessage="0" allowBlank="0" type="list">
      <formula1>"THB,IDR,VND,PHP,MYR,USD"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26" customWidth="1" min="3" max="3"/>
    <col width="24" customWidth="1" min="4" max="4"/>
    <col width="26" customWidth="1" min="5" max="5"/>
  </cols>
  <sheetData>
    <row r="1">
      <c r="A1" s="5" t="inlineStr">
        <is>
          <t>เครื่องคำนวณราคาค่าเช่าและกำไรต่อคัน</t>
        </is>
      </c>
    </row>
    <row r="3">
      <c r="A3" s="20" t="inlineStr">
        <is>
          <t>รถ</t>
        </is>
      </c>
      <c r="B3" s="20" t="inlineStr">
        <is>
          <t>จำนวน</t>
        </is>
      </c>
      <c r="C3" s="20" t="inlineStr">
        <is>
          <t>กำไรต่อคันต่อปี</t>
        </is>
      </c>
      <c r="D3" s="20" t="inlineStr">
        <is>
          <t>กำไรรวมต่อปี</t>
        </is>
      </c>
      <c r="E3" s="20" t="inlineStr">
        <is>
          <t>เงินลงทุนในตัวรถ</t>
        </is>
      </c>
    </row>
    <row r="4">
      <c r="A4" t="inlineStr">
        <is>
          <t>รถยนต์แบบในชีต 'ต่อคัน'</t>
        </is>
      </c>
      <c r="B4" s="10" t="n">
        <v>3</v>
      </c>
      <c r="C4" s="10">
        <f>'ต่อคัน'!B47</f>
        <v/>
      </c>
      <c r="D4" s="21">
        <f>B4*C4</f>
        <v/>
      </c>
      <c r="E4" s="21">
        <f>B4*'ต่อคัน'!B8</f>
        <v/>
      </c>
    </row>
    <row r="5">
      <c r="A5" t="inlineStr">
        <is>
          <t>สกู๊ตเตอร์ (ใส่กำไรต่อคันโดยประมาณ)</t>
        </is>
      </c>
      <c r="B5" s="10" t="n">
        <v>0</v>
      </c>
      <c r="C5" s="10" t="n">
        <v>19250</v>
      </c>
      <c r="D5" s="21">
        <f>B5*C5</f>
        <v/>
      </c>
      <c r="E5" s="21">
        <f>B5*60000</f>
        <v/>
      </c>
    </row>
    <row r="6">
      <c r="A6" s="22" t="inlineStr">
        <is>
          <t>รวม</t>
        </is>
      </c>
      <c r="B6" s="23">
        <f>SUM(B4:B5)</f>
        <v/>
      </c>
      <c r="D6" s="23">
        <f>SUM(D4:D5)</f>
        <v/>
      </c>
      <c r="E6" s="23">
        <f>SUM(E4:E5)</f>
        <v/>
      </c>
    </row>
    <row r="8">
      <c r="A8" s="24" t="inlineStr">
        <is>
          <t>เคล็ดลับ: คัดลอกชีต 'ต่อคัน' หนึ่งชีตต่อรุ่นรถที่มี แล้วลิงก์กำไรมาที่นี่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2026-10-28T10:57:52Z</dcterms:created>
  <dcterms:modified xmlns:dcterms="http://purl.org/dc/terms/" xmlns:xsi="http://www.w3.org/2001/XMLSchema-instance" xsi:type="dcterms:W3CDTF">2026-10-28T10:57:52Z</dcterms:modified>
</cp:coreProperties>
</file>
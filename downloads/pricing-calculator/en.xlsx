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er vehicle" sheetId="2" state="visible" r:id="rId2"/>
    <sheet xmlns:r="http://schemas.openxmlformats.org/officeDocument/2006/relationships" name="Fleet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06162B"/>
      <sz val="20"/>
    </font>
    <font>
      <color rgb="000B8F8C"/>
      <sz val="11"/>
    </font>
    <font>
      <b val="1"/>
      <color rgb="0006162B"/>
      <sz val="12"/>
    </font>
    <font>
      <color rgb="0006162B"/>
      <sz val="12"/>
    </font>
    <font>
      <b val="1"/>
      <color rgb="0006162B"/>
      <sz val="16"/>
    </font>
    <font>
      <color rgb="000B8F8C"/>
      <sz val="10"/>
    </font>
    <font>
      <color rgb="0006162B"/>
      <sz val="11"/>
    </font>
    <font>
      <b val="1"/>
      <color rgb="000B8F8C"/>
      <sz val="12"/>
    </font>
    <font>
      <color rgb="0006162B"/>
    </font>
    <font>
      <b val="1"/>
      <color rgb="0006162B"/>
      <sz val="11"/>
    </font>
    <font>
      <b val="1"/>
      <color rgb="0006162B"/>
    </font>
    <font>
      <b val="1"/>
      <color rgb="00FFFFFF"/>
    </font>
    <font>
      <b val="1"/>
    </font>
    <font>
      <i val="1"/>
      <color rgb="005F6B7A"/>
    </font>
  </fonts>
  <fills count="4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6162B"/>
      </patternFill>
    </fill>
  </fills>
  <borders count="2">
    <border>
      <left/>
      <right/>
      <top/>
      <bottom/>
      <diagonal/>
    </border>
    <border>
      <left style="thin">
        <color rgb="00C9D1DA"/>
      </left>
      <right style="thin">
        <color rgb="00C9D1DA"/>
      </right>
      <top style="thin">
        <color rgb="00C9D1DA"/>
      </top>
      <bottom style="thin">
        <color rgb="00C9D1D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0" fillId="2" borderId="1" pivotButton="0" quotePrefix="0" xfId="0"/>
    <xf numFmtId="0" fontId="8" fillId="0" borderId="0" pivotButton="0" quotePrefix="0" xfId="0"/>
    <xf numFmtId="3" fontId="0" fillId="2" borderId="1" pivotButton="0" quotePrefix="0" xfId="0"/>
    <xf numFmtId="9" fontId="0" fillId="2" borderId="1" pivotButton="0" quotePrefix="0" xfId="0"/>
    <xf numFmtId="1" fontId="0" fillId="2" borderId="1" pivotButton="0" quotePrefix="0" xfId="0"/>
    <xf numFmtId="3" fontId="9" fillId="0" borderId="1" pivotButton="0" quotePrefix="0" xfId="0"/>
    <xf numFmtId="1" fontId="9" fillId="0" borderId="1" pivotButton="0" quotePrefix="0" xfId="0"/>
    <xf numFmtId="9" fontId="9" fillId="0" borderId="1" pivotButton="0" quotePrefix="0" xfId="0"/>
    <xf numFmtId="0" fontId="10" fillId="0" borderId="0" pivotButton="0" quotePrefix="0" xfId="0"/>
    <xf numFmtId="3" fontId="11" fillId="0" borderId="1" pivotButton="0" quotePrefix="0" xfId="0"/>
    <xf numFmtId="164" fontId="11" fillId="0" borderId="1" pivotButton="0" quotePrefix="0" xfId="0"/>
    <xf numFmtId="164" fontId="9" fillId="0" borderId="1" pivotButton="0" quotePrefix="0" xfId="0"/>
    <xf numFmtId="0" fontId="12" fillId="3" borderId="0" pivotButton="0" quotePrefix="0" xfId="0"/>
    <xf numFmtId="3" fontId="0" fillId="0" borderId="1" pivotButton="0" quotePrefix="0" xfId="0"/>
    <xf numFmtId="0" fontId="13" fillId="0" borderId="0" pivotButton="0" quotePrefix="0" xfId="0"/>
    <xf numFmtId="3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Fleet pricing and profit calculator</t>
        </is>
      </c>
    </row>
    <row r="2">
      <c r="A2" s="2" t="inlineStr">
        <is>
          <t>Free from Lokalfleet · lokalfleet.com</t>
        </is>
      </c>
    </row>
    <row r="4">
      <c r="A4" s="3" t="inlineStr">
        <is>
          <t>How to use it:</t>
        </is>
      </c>
    </row>
    <row r="5">
      <c r="A5" s="4" t="inlineStr">
        <is>
          <t>1. On the 'Per vehicle' sheet, change the yellow cells for one car or scooter: what you paid, your prices and costs.</t>
        </is>
      </c>
    </row>
    <row r="6">
      <c r="A6" s="4" t="inlineStr">
        <is>
          <t>2. Set how many days a month it is rented in high, normal and low season. Everything else is worked out for you.</t>
        </is>
      </c>
    </row>
    <row r="7">
      <c r="A7" s="4" t="inlineStr">
        <is>
          <t>3. On 'Fleet plan', enter how many of each vehicle you have (or plan to buy) to see the whole business.</t>
        </is>
      </c>
    </row>
    <row r="8">
      <c r="A8" s="4" t="inlineStr">
        <is>
          <t>The numbers already filled in are examples only, in the currency you choose. Replace them with your own.</t>
        </is>
      </c>
    </row>
    <row r="9">
      <c r="A9" s="4" t="inlineStr">
        <is>
          <t>Lokalfleet tracks real bookings, payments and costs per vehicle automatically, so you can check these numbers against what actually happens: lokalfleet.com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30" customWidth="1" min="3" max="3"/>
  </cols>
  <sheetData>
    <row r="1">
      <c r="A1" s="5" t="inlineStr">
        <is>
          <t>Fleet pricing and profit calculator</t>
        </is>
      </c>
    </row>
    <row r="2">
      <c r="A2" s="6" t="inlineStr">
        <is>
          <t>Free from Lokalfleet · lokalfleet.com</t>
        </is>
      </c>
    </row>
    <row r="4">
      <c r="A4" s="7" t="inlineStr">
        <is>
          <t>Currency</t>
        </is>
      </c>
      <c r="B4" s="8" t="inlineStr">
        <is>
          <t>USD</t>
        </is>
      </c>
    </row>
    <row r="5">
      <c r="A5" s="7" t="inlineStr">
        <is>
          <t>Vehicle</t>
        </is>
      </c>
      <c r="B5" s="8" t="inlineStr">
        <is>
          <t>Car</t>
        </is>
      </c>
    </row>
    <row r="7">
      <c r="A7" s="9" t="inlineStr">
        <is>
          <t>The vehicle</t>
        </is>
      </c>
    </row>
    <row r="8">
      <c r="A8" s="7" t="inlineStr">
        <is>
          <t>Price paid (or market value)</t>
        </is>
      </c>
      <c r="B8" s="10" t="n">
        <v>16000</v>
      </c>
    </row>
    <row r="9">
      <c r="A9" s="7" t="inlineStr">
        <is>
          <t>Expected resale value after 3 years (% of price)</t>
        </is>
      </c>
      <c r="B9" s="11" t="n">
        <v>0.55</v>
      </c>
    </row>
    <row r="10">
      <c r="A10" s="7" t="inlineStr">
        <is>
          <t>Years you plan to keep it</t>
        </is>
      </c>
      <c r="B10" s="12" t="n">
        <v>3</v>
      </c>
    </row>
    <row r="12">
      <c r="A12" s="9" t="inlineStr">
        <is>
          <t>Your prices</t>
        </is>
      </c>
    </row>
    <row r="13">
      <c r="A13" s="7" t="inlineStr">
        <is>
          <t>Daily rate</t>
        </is>
      </c>
      <c r="B13" s="10" t="n">
        <v>35</v>
      </c>
    </row>
    <row r="14">
      <c r="A14" s="7" t="inlineStr">
        <is>
          <t>Weekly rate</t>
        </is>
      </c>
      <c r="B14" s="10" t="n">
        <v>210</v>
      </c>
    </row>
    <row r="15">
      <c r="A15" s="7" t="inlineStr">
        <is>
          <t>Monthly rate</t>
        </is>
      </c>
      <c r="B15" s="10" t="n">
        <v>600</v>
      </c>
    </row>
    <row r="17">
      <c r="A17" s="9" t="inlineStr">
        <is>
          <t>How it is rented (share of rented days)</t>
        </is>
      </c>
    </row>
    <row r="18">
      <c r="A18" s="7" t="inlineStr">
        <is>
          <t>Daily rentals %</t>
        </is>
      </c>
      <c r="B18" s="11" t="n">
        <v>0.6</v>
      </c>
    </row>
    <row r="19">
      <c r="A19" s="7" t="inlineStr">
        <is>
          <t>Weekly rentals %</t>
        </is>
      </c>
      <c r="B19" s="11" t="n">
        <v>0.25</v>
      </c>
    </row>
    <row r="20">
      <c r="A20" s="7" t="inlineStr">
        <is>
          <t>Monthly rentals %</t>
        </is>
      </c>
      <c r="B20" s="11" t="n">
        <v>0.15</v>
      </c>
    </row>
    <row r="22">
      <c r="A22" s="9" t="inlineStr">
        <is>
          <t>Days rented per month</t>
        </is>
      </c>
    </row>
    <row r="23">
      <c r="A23" s="7" t="inlineStr">
        <is>
          <t>High season (months per year)</t>
        </is>
      </c>
      <c r="B23" s="12" t="n">
        <v>4</v>
      </c>
    </row>
    <row r="24">
      <c r="A24" s="7" t="inlineStr">
        <is>
          <t>Days rented in a high-season month</t>
        </is>
      </c>
      <c r="B24" s="12" t="n">
        <v>25</v>
      </c>
    </row>
    <row r="25">
      <c r="A25" s="7" t="inlineStr">
        <is>
          <t>Normal season (months per year)</t>
        </is>
      </c>
      <c r="B25" s="12" t="n">
        <v>4</v>
      </c>
    </row>
    <row r="26">
      <c r="A26" s="7" t="inlineStr">
        <is>
          <t>Days rented in a normal month</t>
        </is>
      </c>
      <c r="B26" s="12" t="n">
        <v>18</v>
      </c>
    </row>
    <row r="27">
      <c r="A27" s="7" t="inlineStr">
        <is>
          <t>Low season (months per year)</t>
        </is>
      </c>
      <c r="B27" s="12" t="n">
        <v>4</v>
      </c>
    </row>
    <row r="28">
      <c r="A28" s="7" t="inlineStr">
        <is>
          <t>Days rented in a low-season month</t>
        </is>
      </c>
      <c r="B28" s="12" t="n">
        <v>10</v>
      </c>
    </row>
    <row r="30">
      <c r="A30" s="9" t="inlineStr">
        <is>
          <t>Running costs</t>
        </is>
      </c>
    </row>
    <row r="31">
      <c r="A31" s="7" t="inlineStr">
        <is>
          <t>Insurance per year</t>
        </is>
      </c>
      <c r="B31" s="10" t="n">
        <v>550</v>
      </c>
    </row>
    <row r="32">
      <c r="A32" s="7" t="inlineStr">
        <is>
          <t>Road tax + compulsory insurance per year</t>
        </is>
      </c>
      <c r="B32" s="10" t="n">
        <v>80</v>
      </c>
    </row>
    <row r="33">
      <c r="A33" s="7" t="inlineStr">
        <is>
          <t>Maintenance and repairs per month</t>
        </is>
      </c>
      <c r="B33" s="10" t="n">
        <v>50</v>
      </c>
    </row>
    <row r="34">
      <c r="A34" s="7" t="inlineStr">
        <is>
          <t>Cleaning per rental</t>
        </is>
      </c>
      <c r="B34" s="10" t="n">
        <v>6</v>
      </c>
    </row>
    <row r="35">
      <c r="A35" s="7" t="inlineStr">
        <is>
          <t>Rentals per month (average)</t>
        </is>
      </c>
      <c r="B35" s="12" t="n">
        <v>4</v>
      </c>
    </row>
    <row r="36">
      <c r="A36" s="7" t="inlineStr">
        <is>
          <t>Commission on bookings % (cards, agents)</t>
        </is>
      </c>
      <c r="B36" s="11" t="n">
        <v>0</v>
      </c>
    </row>
    <row r="37">
      <c r="A37" s="7" t="inlineStr">
        <is>
          <t>Parking, GPS, other per month</t>
        </is>
      </c>
      <c r="B37" s="10" t="n">
        <v>25</v>
      </c>
    </row>
    <row r="39">
      <c r="A39" s="9" t="inlineStr">
        <is>
          <t>Results</t>
        </is>
      </c>
    </row>
    <row r="40">
      <c r="A40" s="7" t="inlineStr">
        <is>
          <t>Average income per rented day</t>
        </is>
      </c>
      <c r="B40" s="13">
        <f>(B18*B13+B19*B14/7+B20*B15/30)*(1-B36)</f>
        <v/>
      </c>
    </row>
    <row r="41">
      <c r="A41" s="7" t="inlineStr">
        <is>
          <t>Rented days per year</t>
        </is>
      </c>
      <c r="B41" s="14">
        <f>B23*B24+B25*B26+B27*B28</f>
        <v/>
      </c>
    </row>
    <row r="42">
      <c r="A42" s="7" t="inlineStr">
        <is>
          <t>Utilisation (rented days / 365)</t>
        </is>
      </c>
      <c r="B42" s="15">
        <f>B41/365</f>
        <v/>
      </c>
    </row>
    <row r="43">
      <c r="A43" s="7" t="inlineStr">
        <is>
          <t>Income per year</t>
        </is>
      </c>
      <c r="B43" s="13">
        <f>B40*B41</f>
        <v/>
      </c>
    </row>
    <row r="44">
      <c r="A44" s="7" t="inlineStr">
        <is>
          <t>Running costs per year</t>
        </is>
      </c>
      <c r="B44" s="13">
        <f>B31+B32+12*(B33+B37+B34*B35)</f>
        <v/>
      </c>
    </row>
    <row r="45">
      <c r="A45" s="7" t="inlineStr">
        <is>
          <t>Depreciation per year</t>
        </is>
      </c>
      <c r="B45" s="13">
        <f>B8*(1-B9)/MAX(1,B10)</f>
        <v/>
      </c>
    </row>
    <row r="46">
      <c r="A46" s="7" t="inlineStr">
        <is>
          <t>Cash profit per year (before depreciation)</t>
        </is>
      </c>
      <c r="B46" s="13">
        <f>B43-B44</f>
        <v/>
      </c>
    </row>
    <row r="47">
      <c r="A47" s="16" t="inlineStr">
        <is>
          <t>Profit per year (after depreciation)</t>
        </is>
      </c>
      <c r="B47" s="17">
        <f>B46-B45</f>
        <v/>
      </c>
    </row>
    <row r="48">
      <c r="A48" s="16" t="inlineStr">
        <is>
          <t>Profit per month (average)</t>
        </is>
      </c>
      <c r="B48" s="17">
        <f>B47/12</f>
        <v/>
      </c>
    </row>
    <row r="49">
      <c r="A49" s="16" t="inlineStr">
        <is>
          <t>Payback (months, from cash profit)</t>
        </is>
      </c>
      <c r="B49" s="18">
        <f>IF(B46&gt;0,B8/(B46/12),"—")</f>
        <v/>
      </c>
    </row>
    <row r="50">
      <c r="A50" s="7" t="inlineStr">
        <is>
          <t>Break-even: rented days per month needed</t>
        </is>
      </c>
      <c r="B50" s="19">
        <f>IF(B40&gt;0,(B44+B45)/B40/12,"—")</f>
        <v/>
      </c>
    </row>
    <row r="52">
      <c r="A52" t="inlineStr">
        <is>
          <t>Check: rental mix adds up to 100%</t>
        </is>
      </c>
      <c r="B52">
        <f>IF(ROUND(B18+B19+B20,2)=1,"OK","Fix: should be 100%")</f>
        <v/>
      </c>
    </row>
    <row r="53">
      <c r="A53" t="inlineStr">
        <is>
          <t>Months per year must add up to 12</t>
        </is>
      </c>
      <c r="B53">
        <f>IF(B23+B25+B27=12,"OK","Fix: should be 100%")</f>
        <v/>
      </c>
    </row>
  </sheetData>
  <conditionalFormatting sqref="B46">
    <cfRule type="cellIs" priority="1" operator="lessThan" dxfId="0">
      <formula>0</formula>
    </cfRule>
  </conditionalFormatting>
  <conditionalFormatting sqref="B47">
    <cfRule type="cellIs" priority="2" operator="lessThan" dxfId="0">
      <formula>0</formula>
    </cfRule>
  </conditionalFormatting>
  <dataValidations count="1">
    <dataValidation sqref="B4" showDropDown="0" showInputMessage="0" showErrorMessage="0" allowBlank="0" type="list">
      <formula1>"THB,IDR,VND,PHP,MYR,USD"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26" customWidth="1" min="3" max="3"/>
    <col width="24" customWidth="1" min="4" max="4"/>
    <col width="26" customWidth="1" min="5" max="5"/>
  </cols>
  <sheetData>
    <row r="1">
      <c r="A1" s="5" t="inlineStr">
        <is>
          <t>Fleet pricing and profit calculator</t>
        </is>
      </c>
    </row>
    <row r="3">
      <c r="A3" s="20" t="inlineStr">
        <is>
          <t>Vehicle</t>
        </is>
      </c>
      <c r="B3" s="20" t="inlineStr">
        <is>
          <t>How many</t>
        </is>
      </c>
      <c r="C3" s="20" t="inlineStr">
        <is>
          <t>Profit per vehicle per year</t>
        </is>
      </c>
      <c r="D3" s="20" t="inlineStr">
        <is>
          <t>Total profit per year</t>
        </is>
      </c>
      <c r="E3" s="20" t="inlineStr">
        <is>
          <t>Money tied up in vehicles</t>
        </is>
      </c>
    </row>
    <row r="4">
      <c r="A4" t="inlineStr">
        <is>
          <t>Cars like the one on 'Per vehicle'</t>
        </is>
      </c>
      <c r="B4" s="10" t="n">
        <v>3</v>
      </c>
      <c r="C4" s="10">
        <f>'Per vehicle'!B47</f>
        <v/>
      </c>
      <c r="D4" s="21">
        <f>B4*C4</f>
        <v/>
      </c>
      <c r="E4" s="21">
        <f>B4*'Per vehicle'!B8</f>
        <v/>
      </c>
    </row>
    <row r="5">
      <c r="A5" t="inlineStr">
        <is>
          <t>Scooters (enter a typical scooter's profit)</t>
        </is>
      </c>
      <c r="B5" s="10" t="n">
        <v>0</v>
      </c>
      <c r="C5" s="10" t="n">
        <v>770</v>
      </c>
      <c r="D5" s="21">
        <f>B5*C5</f>
        <v/>
      </c>
      <c r="E5" s="21">
        <f>B5*1800</f>
        <v/>
      </c>
    </row>
    <row r="6">
      <c r="A6" s="22" t="inlineStr">
        <is>
          <t>Total</t>
        </is>
      </c>
      <c r="B6" s="23">
        <f>SUM(B4:B5)</f>
        <v/>
      </c>
      <c r="D6" s="23">
        <f>SUM(D4:D5)</f>
        <v/>
      </c>
      <c r="E6" s="23">
        <f>SUM(E4:E5)</f>
        <v/>
      </c>
    </row>
    <row r="8">
      <c r="A8" s="24" t="inlineStr">
        <is>
          <t>Tip: make a copy of the 'Per vehicle' sheet for each model you run, and link its profit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2026-10-28T10:57:52Z</dcterms:created>
  <dcterms:modified xmlns:dcterms="http://purl.org/dc/terms/" xmlns:xsi="http://www.w3.org/2001/XMLSchema-instance" xsi:type="dcterms:W3CDTF">2026-10-28T10:57:52Z</dcterms:modified>
</cp:coreProperties>
</file>